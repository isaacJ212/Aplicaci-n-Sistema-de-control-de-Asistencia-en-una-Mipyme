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30" windowHeight="7815"/>
  </bookViews>
  <sheets>
    <sheet name="PLANILLA DE PAGO" sheetId="9" r:id="rId1"/>
    <sheet name="COMPROBANTE CONTABLE" sheetId="11" r:id="rId2"/>
    <sheet name="Calculadora IR" sheetId="10" r:id="rId3"/>
  </sheets>
  <calcPr calcId="144525"/>
</workbook>
</file>

<file path=xl/sharedStrings.xml><?xml version="1.0" encoding="utf-8"?>
<sst xmlns="http://schemas.openxmlformats.org/spreadsheetml/2006/main" count="117" uniqueCount="71">
  <si>
    <t>Rubí del Valle</t>
  </si>
  <si>
    <t>Nomina Salarial  Correspondiente Al Mes De Mayo Del 2026.</t>
  </si>
  <si>
    <t>Periodo del 01 al 30 de Mayo del 2026</t>
  </si>
  <si>
    <t># INSS</t>
  </si>
  <si>
    <t>Datos Personales</t>
  </si>
  <si>
    <t>Cargo</t>
  </si>
  <si>
    <t>N°  Cedúlas</t>
  </si>
  <si>
    <t>Ingresos</t>
  </si>
  <si>
    <t>Deducciones</t>
  </si>
  <si>
    <t>Neto a Pagar</t>
  </si>
  <si>
    <t>Inss Patronal</t>
  </si>
  <si>
    <t>Inatec</t>
  </si>
  <si>
    <t>Prestaciones</t>
  </si>
  <si>
    <t>Nombre y Apellidos</t>
  </si>
  <si>
    <t>Salario Básico</t>
  </si>
  <si>
    <t>Comisiones</t>
  </si>
  <si>
    <t>Horas Extras</t>
  </si>
  <si>
    <t>Incentivos</t>
  </si>
  <si>
    <t>Total Ingresos</t>
  </si>
  <si>
    <t>Inss Laboral</t>
  </si>
  <si>
    <t>IR</t>
  </si>
  <si>
    <t>Embargo</t>
  </si>
  <si>
    <t>Sindicato</t>
  </si>
  <si>
    <t>Total Deducciones</t>
  </si>
  <si>
    <t>Vacaciones</t>
  </si>
  <si>
    <t>Aguinaldo</t>
  </si>
  <si>
    <t>Indemnización</t>
  </si>
  <si>
    <t xml:space="preserve">Anielka Del Socorro Sánchez Sequeira </t>
  </si>
  <si>
    <t>Administración</t>
  </si>
  <si>
    <t>041-070102-1000L</t>
  </si>
  <si>
    <t>Josepth Emanuel Mendieta Diaz</t>
  </si>
  <si>
    <t>Operario</t>
  </si>
  <si>
    <t>001-150665-1023H</t>
  </si>
  <si>
    <t>Haxel Alexander Navarro López</t>
  </si>
  <si>
    <t>Supervisor</t>
  </si>
  <si>
    <t>002-220772-5045K</t>
  </si>
  <si>
    <t>Monica Alejandra López Perez</t>
  </si>
  <si>
    <t>Vendedor</t>
  </si>
  <si>
    <t>003-030380-6067L</t>
  </si>
  <si>
    <t>Total</t>
  </si>
  <si>
    <t xml:space="preserve">$      74,790.00 </t>
  </si>
  <si>
    <t>Legado Vivo</t>
  </si>
  <si>
    <t>Comprobante Contable de Nómina</t>
  </si>
  <si>
    <t>Período del 01 al 30 de Mayo del 2026</t>
  </si>
  <si>
    <t>DESCRIPCION DE CUENTA</t>
  </si>
  <si>
    <t>DEBE</t>
  </si>
  <si>
    <t>HABER</t>
  </si>
  <si>
    <t>Salarios</t>
  </si>
  <si>
    <t>Horas extras</t>
  </si>
  <si>
    <t>Dias Feriados</t>
  </si>
  <si>
    <t>-</t>
  </si>
  <si>
    <t>Salarios por pagar</t>
  </si>
  <si>
    <t>Inss Laboral por pagar</t>
  </si>
  <si>
    <t>Inss Patronal por Pagar</t>
  </si>
  <si>
    <t>Inatec por pagar</t>
  </si>
  <si>
    <t>Ir por pagar</t>
  </si>
  <si>
    <t>Vacaciones por pagar</t>
  </si>
  <si>
    <t>Aguinaldo por pagar</t>
  </si>
  <si>
    <t>Indemnización por pagar</t>
  </si>
  <si>
    <t>Sumas Iguales</t>
  </si>
  <si>
    <t>Tabla progresiva</t>
  </si>
  <si>
    <t>Calculadora de IR</t>
  </si>
  <si>
    <t>De</t>
  </si>
  <si>
    <t>Hasta</t>
  </si>
  <si>
    <t>impuesto base</t>
  </si>
  <si>
    <t xml:space="preserve">porcentaje aplicable </t>
  </si>
  <si>
    <t>sobre exceso</t>
  </si>
  <si>
    <t xml:space="preserve">Sobre exceso </t>
  </si>
  <si>
    <t>Alícuota</t>
  </si>
  <si>
    <t>Impuesto base</t>
  </si>
  <si>
    <t>a mas</t>
  </si>
</sst>
</file>

<file path=xl/styles.xml><?xml version="1.0" encoding="utf-8"?>
<styleSheet xmlns="http://schemas.openxmlformats.org/spreadsheetml/2006/main">
  <numFmts count="7">
    <numFmt numFmtId="176" formatCode="_-&quot;C$&quot;* #,##0.000_-;\-&quot;C$&quot;* #,##0.000_-;_-&quot;C$&quot;* &quot;-&quot;??_-;_-@_-"/>
    <numFmt numFmtId="177" formatCode="_-&quot;C$&quot;* #,##0.00_-;\-&quot;C$&quot;* #,##0.00_-;_-&quot;C$&quot;* &quot;-&quot;??_-;_-@_-"/>
    <numFmt numFmtId="178" formatCode="_-[$C$-4C0A]* #,##0.00_-;\-[$C$-4C0A]* #,##0.00_-;_-[$C$-4C0A]* &quot;-&quot;??_-;_-@_-"/>
    <numFmt numFmtId="43" formatCode="_-* #,##0.00_-;\-* #,##0.00_-;_-* &quot;-&quot;??_-;_-@_-"/>
    <numFmt numFmtId="179" formatCode="_-* #,##0.00\ &quot;€&quot;_-;\-* #,##0.00\ &quot;€&quot;_-;_-* &quot;-&quot;??\ &quot;€&quot;_-;_-@_-"/>
    <numFmt numFmtId="41" formatCode="_-* #,##0_-;\-* #,##0_-;_-* &quot;-&quot;_-;_-@_-"/>
    <numFmt numFmtId="42" formatCode="_-&quot;£&quot;* #,##0_-;\-&quot;£&quot;* #,##0_-;_-&quot;£&quot;* &quot;-&quot;_-;_-@_-"/>
  </numFmts>
  <fonts count="30">
    <font>
      <sz val="11"/>
      <color theme="1"/>
      <name val="Lucida Calligraphy"/>
      <charset val="134"/>
    </font>
    <font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2"/>
      <color theme="0"/>
      <name val="Times New Roman"/>
      <charset val="134"/>
    </font>
    <font>
      <b/>
      <sz val="12"/>
      <color theme="1"/>
      <name val="Times New Roman"/>
      <charset val="134"/>
    </font>
    <font>
      <b/>
      <sz val="20"/>
      <color theme="0"/>
      <name val="Times New Roman"/>
      <charset val="134"/>
    </font>
    <font>
      <b/>
      <sz val="20"/>
      <name val="Times New Roman"/>
      <charset val="134"/>
    </font>
    <font>
      <b/>
      <sz val="11"/>
      <color theme="0"/>
      <name val="Times New Roman"/>
      <charset val="134"/>
    </font>
    <font>
      <u/>
      <sz val="11"/>
      <color theme="1"/>
      <name val="Lucida Calligraphy"/>
      <charset val="134"/>
    </font>
    <font>
      <sz val="12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9" fillId="8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5" fillId="0" borderId="28" applyNumberFormat="0" applyFill="0" applyAlignment="0" applyProtection="0">
      <alignment vertical="center"/>
    </xf>
    <xf numFmtId="0" fontId="28" fillId="25" borderId="29" applyNumberFormat="0" applyAlignment="0" applyProtection="0">
      <alignment vertical="center"/>
    </xf>
    <xf numFmtId="179" fontId="0" fillId="0" borderId="0" applyFont="0" applyFill="0" applyBorder="0" applyAlignment="0" applyProtection="0"/>
    <xf numFmtId="0" fontId="13" fillId="5" borderId="0" applyNumberFormat="0" applyBorder="0" applyAlignment="0" applyProtection="0">
      <alignment vertical="center"/>
    </xf>
    <xf numFmtId="0" fontId="11" fillId="11" borderId="27" applyNumberFormat="0" applyFont="0" applyAlignment="0" applyProtection="0">
      <alignment vertical="center"/>
    </xf>
    <xf numFmtId="0" fontId="24" fillId="10" borderId="25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7" fillId="25" borderId="25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0" borderId="26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6" fillId="7" borderId="23" applyNumberFormat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6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3" fontId="1" fillId="0" borderId="1" xfId="0" applyNumberFormat="1" applyFont="1" applyBorder="1"/>
    <xf numFmtId="4" fontId="1" fillId="0" borderId="1" xfId="0" applyNumberFormat="1" applyFont="1" applyBorder="1"/>
    <xf numFmtId="9" fontId="1" fillId="0" borderId="1" xfId="0" applyNumberFormat="1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0" fontId="1" fillId="0" borderId="1" xfId="0" applyNumberFormat="1" applyFont="1" applyBorder="1"/>
    <xf numFmtId="178" fontId="1" fillId="0" borderId="1" xfId="27" applyNumberFormat="1" applyFont="1" applyBorder="1"/>
    <xf numFmtId="177" fontId="1" fillId="0" borderId="0" xfId="0" applyNumberFormat="1" applyFont="1"/>
    <xf numFmtId="177" fontId="2" fillId="0" borderId="4" xfId="0" applyNumberFormat="1" applyFont="1" applyBorder="1" applyAlignment="1">
      <alignment horizontal="center" vertical="center"/>
    </xf>
    <xf numFmtId="178" fontId="0" fillId="0" borderId="0" xfId="0" applyNumberFormat="1"/>
    <xf numFmtId="177" fontId="2" fillId="0" borderId="5" xfId="0" applyNumberFormat="1" applyFont="1" applyBorder="1" applyAlignment="1">
      <alignment horizontal="center" vertical="center"/>
    </xf>
    <xf numFmtId="178" fontId="1" fillId="0" borderId="0" xfId="27" applyNumberFormat="1" applyFont="1"/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left" vertical="center" wrapText="1"/>
    </xf>
    <xf numFmtId="178" fontId="1" fillId="4" borderId="4" xfId="27" applyNumberFormat="1" applyFont="1" applyFill="1" applyBorder="1" applyAlignment="1">
      <alignment horizontal="center" wrapText="1"/>
    </xf>
    <xf numFmtId="178" fontId="1" fillId="4" borderId="13" xfId="27" applyNumberFormat="1" applyFont="1" applyFill="1" applyBorder="1" applyAlignment="1">
      <alignment horizontal="center" wrapText="1"/>
    </xf>
    <xf numFmtId="0" fontId="4" fillId="4" borderId="14" xfId="0" applyFont="1" applyFill="1" applyBorder="1" applyAlignment="1">
      <alignment horizontal="left" vertical="center" wrapText="1"/>
    </xf>
    <xf numFmtId="178" fontId="1" fillId="4" borderId="5" xfId="27" applyNumberFormat="1" applyFont="1" applyFill="1" applyBorder="1" applyAlignment="1">
      <alignment horizontal="center" wrapText="1"/>
    </xf>
    <xf numFmtId="178" fontId="1" fillId="4" borderId="15" xfId="27" applyNumberFormat="1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left" vertical="center" wrapText="1"/>
    </xf>
    <xf numFmtId="178" fontId="3" fillId="2" borderId="17" xfId="27" applyNumberFormat="1" applyFont="1" applyFill="1" applyBorder="1" applyAlignment="1">
      <alignment horizontal="center" vertical="center" wrapText="1"/>
    </xf>
    <xf numFmtId="178" fontId="3" fillId="2" borderId="18" xfId="27" applyNumberFormat="1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0" fillId="0" borderId="12" xfId="0" applyBorder="1"/>
    <xf numFmtId="0" fontId="2" fillId="0" borderId="4" xfId="0" applyFont="1" applyBorder="1" applyAlignment="1">
      <alignment horizontal="left" vertical="top"/>
    </xf>
    <xf numFmtId="0" fontId="0" fillId="0" borderId="14" xfId="0" applyBorder="1"/>
    <xf numFmtId="0" fontId="2" fillId="0" borderId="5" xfId="0" applyFont="1" applyBorder="1" applyAlignment="1">
      <alignment horizontal="left" vertical="top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8" fillId="0" borderId="0" xfId="0" applyFont="1"/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vertical="top"/>
    </xf>
    <xf numFmtId="177" fontId="7" fillId="2" borderId="10" xfId="0" applyNumberFormat="1" applyFont="1" applyFill="1" applyBorder="1" applyAlignment="1">
      <alignment horizontal="center" vertical="center"/>
    </xf>
    <xf numFmtId="179" fontId="9" fillId="0" borderId="0" xfId="27" applyFont="1"/>
    <xf numFmtId="177" fontId="0" fillId="0" borderId="0" xfId="0" applyNumberFormat="1"/>
    <xf numFmtId="176" fontId="2" fillId="0" borderId="4" xfId="0" applyNumberFormat="1" applyFont="1" applyBorder="1" applyAlignment="1">
      <alignment horizontal="center" vertical="center"/>
    </xf>
    <xf numFmtId="178" fontId="2" fillId="0" borderId="5" xfId="27" applyNumberFormat="1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177" fontId="2" fillId="0" borderId="13" xfId="0" applyNumberFormat="1" applyFont="1" applyBorder="1" applyAlignment="1">
      <alignment horizontal="center" vertical="center"/>
    </xf>
    <xf numFmtId="177" fontId="2" fillId="0" borderId="15" xfId="0" applyNumberFormat="1" applyFont="1" applyBorder="1" applyAlignment="1">
      <alignment horizontal="center" vertical="center"/>
    </xf>
    <xf numFmtId="177" fontId="7" fillId="2" borderId="11" xfId="0" applyNumberFormat="1" applyFont="1" applyFill="1" applyBorder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1" defaultTableStyle="TableStyleMedium2" defaultPivotStyle="PivotStyleLight16">
    <tableStyle name="Estilo de tabla 1" pivot="0" count="0"/>
  </tableStyles>
  <colors>
    <mruColors>
      <color rgb="00DCE6F1"/>
      <color rgb="00B23C7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B1:V26"/>
  <sheetViews>
    <sheetView tabSelected="1" zoomScale="80" zoomScaleNormal="80" topLeftCell="H2" workbookViewId="0">
      <selection activeCell="I7" sqref="I7"/>
    </sheetView>
  </sheetViews>
  <sheetFormatPr defaultColWidth="10.5833333333333" defaultRowHeight="18"/>
  <cols>
    <col min="4" max="4" width="14.6666666666667" customWidth="1"/>
    <col min="5" max="5" width="18" customWidth="1"/>
    <col min="6" max="6" width="13.1666666666667" customWidth="1"/>
    <col min="7" max="7" width="29.2" customWidth="1"/>
    <col min="8" max="8" width="16.7083333333333" customWidth="1"/>
    <col min="9" max="9" width="12.4916666666667" customWidth="1"/>
    <col min="10" max="10" width="28.125" customWidth="1"/>
    <col min="11" max="11" width="22.1833333333333" customWidth="1"/>
    <col min="12" max="12" width="10.75" customWidth="1"/>
    <col min="13" max="13" width="9.75" customWidth="1"/>
    <col min="14" max="14" width="7.08333333333333" customWidth="1"/>
    <col min="15" max="15" width="9.58333333333333" customWidth="1"/>
    <col min="16" max="16" width="12.6666666666667" customWidth="1"/>
    <col min="17" max="17" width="19.0583333333333" customWidth="1"/>
    <col min="18" max="18" width="27.8083333333333" customWidth="1"/>
    <col min="19" max="19" width="12.9666666666667" customWidth="1"/>
    <col min="20" max="20" width="18.4333333333333" customWidth="1"/>
    <col min="21" max="21" width="14.3666666666667" customWidth="1"/>
    <col min="22" max="22" width="12.8083333333333" customWidth="1"/>
  </cols>
  <sheetData>
    <row r="1" ht="26.25" spans="2:22">
      <c r="B1" s="34" t="s">
        <v>0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60"/>
    </row>
    <row r="2" ht="26.25" spans="2:22">
      <c r="B2" s="36" t="s">
        <v>1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61"/>
    </row>
    <row r="3" ht="26.25" spans="2:22">
      <c r="B3" s="38" t="s">
        <v>2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62"/>
    </row>
    <row r="4" ht="15.75" customHeight="1" spans="2:22">
      <c r="B4" s="40" t="s">
        <v>3</v>
      </c>
      <c r="C4" s="41" t="s">
        <v>4</v>
      </c>
      <c r="D4" s="41"/>
      <c r="E4" s="41" t="s">
        <v>5</v>
      </c>
      <c r="F4" s="41" t="s">
        <v>6</v>
      </c>
      <c r="G4" s="41" t="s">
        <v>7</v>
      </c>
      <c r="H4" s="41"/>
      <c r="I4" s="41"/>
      <c r="J4" s="41"/>
      <c r="K4" s="41"/>
      <c r="L4" s="41" t="s">
        <v>8</v>
      </c>
      <c r="M4" s="41"/>
      <c r="N4" s="41"/>
      <c r="O4" s="41"/>
      <c r="P4" s="41"/>
      <c r="Q4" s="41" t="s">
        <v>9</v>
      </c>
      <c r="R4" s="41" t="s">
        <v>10</v>
      </c>
      <c r="S4" s="41" t="s">
        <v>11</v>
      </c>
      <c r="T4" s="41" t="s">
        <v>12</v>
      </c>
      <c r="U4" s="41"/>
      <c r="V4" s="63"/>
    </row>
    <row r="5" ht="18.75" spans="2:22">
      <c r="B5" s="42"/>
      <c r="C5" s="43" t="s">
        <v>13</v>
      </c>
      <c r="D5" s="43"/>
      <c r="E5" s="43"/>
      <c r="F5" s="43"/>
      <c r="G5" s="43" t="s">
        <v>14</v>
      </c>
      <c r="H5" s="43" t="s">
        <v>15</v>
      </c>
      <c r="I5" s="43" t="s">
        <v>16</v>
      </c>
      <c r="J5" s="43" t="s">
        <v>17</v>
      </c>
      <c r="K5" s="43" t="s">
        <v>18</v>
      </c>
      <c r="L5" s="43" t="s">
        <v>19</v>
      </c>
      <c r="M5" s="43" t="s">
        <v>20</v>
      </c>
      <c r="N5" s="43" t="s">
        <v>21</v>
      </c>
      <c r="O5" s="43" t="s">
        <v>22</v>
      </c>
      <c r="P5" s="43" t="s">
        <v>23</v>
      </c>
      <c r="Q5" s="43"/>
      <c r="R5" s="43"/>
      <c r="S5" s="43"/>
      <c r="T5" s="43" t="s">
        <v>24</v>
      </c>
      <c r="U5" s="43" t="s">
        <v>25</v>
      </c>
      <c r="V5" s="64" t="s">
        <v>26</v>
      </c>
    </row>
    <row r="6" spans="2:22">
      <c r="B6" s="44"/>
      <c r="C6" s="45" t="s">
        <v>27</v>
      </c>
      <c r="D6" s="45"/>
      <c r="E6" s="51" t="s">
        <v>28</v>
      </c>
      <c r="F6" s="52" t="s">
        <v>29</v>
      </c>
      <c r="G6" s="12">
        <v>12000</v>
      </c>
      <c r="H6" s="12">
        <v>0</v>
      </c>
      <c r="I6" s="12">
        <v>0</v>
      </c>
      <c r="J6" s="12">
        <v>0</v>
      </c>
      <c r="K6" s="12">
        <f>G6+J6+H6+I6</f>
        <v>12000</v>
      </c>
      <c r="L6" s="12">
        <f>K6*7%</f>
        <v>840</v>
      </c>
      <c r="M6" s="12">
        <f>'Calculadora IR'!H10</f>
        <v>550</v>
      </c>
      <c r="N6" s="12">
        <v>0</v>
      </c>
      <c r="O6" s="12">
        <v>0</v>
      </c>
      <c r="P6" s="58">
        <f>L6+M6+N6+O6</f>
        <v>1390</v>
      </c>
      <c r="Q6" s="12">
        <f>K6-P6</f>
        <v>10610</v>
      </c>
      <c r="R6" s="12">
        <f>+K6*0.215</f>
        <v>2580</v>
      </c>
      <c r="S6" s="12">
        <f>+K6*0.02</f>
        <v>240</v>
      </c>
      <c r="T6" s="12">
        <f>G6/30*2.5</f>
        <v>1000</v>
      </c>
      <c r="U6" s="12">
        <f>G6/30*2.5</f>
        <v>1000</v>
      </c>
      <c r="V6" s="65">
        <f>G6/30*2.5</f>
        <v>1000</v>
      </c>
    </row>
    <row r="7" spans="2:22">
      <c r="B7" s="46"/>
      <c r="C7" s="47" t="s">
        <v>30</v>
      </c>
      <c r="D7" s="47"/>
      <c r="E7" s="53" t="s">
        <v>31</v>
      </c>
      <c r="F7" s="54" t="s">
        <v>32</v>
      </c>
      <c r="G7" s="14">
        <v>11080</v>
      </c>
      <c r="H7" s="14">
        <v>0</v>
      </c>
      <c r="I7" s="14">
        <f>G7/240*1.8*8</f>
        <v>664.8</v>
      </c>
      <c r="J7" s="14">
        <v>0</v>
      </c>
      <c r="K7" s="14">
        <f>G7+J7+H7+I7</f>
        <v>11744.8</v>
      </c>
      <c r="L7" s="14">
        <f>K7*7%</f>
        <v>822.136</v>
      </c>
      <c r="M7" s="14">
        <f>'Calculadora IR'!H17</f>
        <v>412</v>
      </c>
      <c r="N7" s="14">
        <v>0</v>
      </c>
      <c r="O7" s="14">
        <v>0</v>
      </c>
      <c r="P7" s="14">
        <f>L7+M7+N7+O7</f>
        <v>1234.136</v>
      </c>
      <c r="Q7" s="14">
        <f>K7-P7</f>
        <v>10510.664</v>
      </c>
      <c r="R7" s="14">
        <f>+K7*0.215</f>
        <v>2525.132</v>
      </c>
      <c r="S7" s="14">
        <f t="shared" ref="S7:S9" si="0">+K7*0.02</f>
        <v>234.896</v>
      </c>
      <c r="T7" s="14">
        <f t="shared" ref="T7:T9" si="1">G7/30*2.5</f>
        <v>923.333333333333</v>
      </c>
      <c r="U7" s="14">
        <f>G7/30*2.5</f>
        <v>923.333333333333</v>
      </c>
      <c r="V7" s="66">
        <f t="shared" ref="V7:V9" si="2">G7/30*2.5</f>
        <v>923.333333333333</v>
      </c>
    </row>
    <row r="8" spans="2:22">
      <c r="B8" s="46"/>
      <c r="C8" s="47" t="s">
        <v>33</v>
      </c>
      <c r="D8" s="47"/>
      <c r="E8" s="53" t="s">
        <v>34</v>
      </c>
      <c r="F8" s="54" t="s">
        <v>35</v>
      </c>
      <c r="G8" s="14">
        <v>11000</v>
      </c>
      <c r="H8" s="14">
        <v>0</v>
      </c>
      <c r="I8" s="14">
        <v>0</v>
      </c>
      <c r="J8" s="14">
        <v>0</v>
      </c>
      <c r="K8" s="14">
        <f>G8+J8+H8+I8</f>
        <v>11000</v>
      </c>
      <c r="L8" s="14">
        <f t="shared" ref="L8:L9" si="3">K8*7%</f>
        <v>770</v>
      </c>
      <c r="M8" s="59">
        <f>'Calculadora IR'!H24</f>
        <v>400</v>
      </c>
      <c r="N8" s="14">
        <v>0</v>
      </c>
      <c r="O8" s="14">
        <v>0</v>
      </c>
      <c r="P8" s="14">
        <f t="shared" ref="P8:P9" si="4">L8+M8+N8+O8</f>
        <v>1170</v>
      </c>
      <c r="Q8" s="14">
        <f t="shared" ref="Q8:Q9" si="5">K8-P8</f>
        <v>9830</v>
      </c>
      <c r="R8" s="14">
        <f t="shared" ref="R8:R9" si="6">+K8*0.215</f>
        <v>2365</v>
      </c>
      <c r="S8" s="14">
        <f t="shared" si="0"/>
        <v>220</v>
      </c>
      <c r="T8" s="14">
        <f t="shared" si="1"/>
        <v>916.666666666667</v>
      </c>
      <c r="U8" s="14">
        <f t="shared" ref="U8:U9" si="7">G8/30*2.5</f>
        <v>916.666666666667</v>
      </c>
      <c r="V8" s="66">
        <f t="shared" si="2"/>
        <v>916.666666666667</v>
      </c>
    </row>
    <row r="9" ht="15.6" customHeight="1" spans="2:22">
      <c r="B9" s="46"/>
      <c r="C9" s="47" t="s">
        <v>36</v>
      </c>
      <c r="D9" s="47"/>
      <c r="E9" s="53" t="s">
        <v>37</v>
      </c>
      <c r="F9" s="54" t="s">
        <v>38</v>
      </c>
      <c r="G9" s="14">
        <v>9000</v>
      </c>
      <c r="H9" s="14">
        <v>0</v>
      </c>
      <c r="I9" s="14">
        <f>G9/240*1.5*8</f>
        <v>450</v>
      </c>
      <c r="J9" s="14">
        <v>0</v>
      </c>
      <c r="K9" s="14">
        <f>G9+J9+H9+I9</f>
        <v>9450</v>
      </c>
      <c r="L9" s="14">
        <f t="shared" si="3"/>
        <v>661.5</v>
      </c>
      <c r="M9" s="14">
        <f>'Calculadora IR'!H31</f>
        <v>100</v>
      </c>
      <c r="N9" s="14">
        <v>0</v>
      </c>
      <c r="O9" s="14">
        <v>0</v>
      </c>
      <c r="P9" s="14">
        <f t="shared" si="4"/>
        <v>761.5</v>
      </c>
      <c r="Q9" s="14">
        <f t="shared" si="5"/>
        <v>8688.5</v>
      </c>
      <c r="R9" s="14">
        <f t="shared" si="6"/>
        <v>2031.75</v>
      </c>
      <c r="S9" s="14">
        <f t="shared" si="0"/>
        <v>189</v>
      </c>
      <c r="T9" s="14">
        <f t="shared" si="1"/>
        <v>750</v>
      </c>
      <c r="U9" s="14">
        <f t="shared" si="7"/>
        <v>750</v>
      </c>
      <c r="V9" s="66">
        <f t="shared" si="2"/>
        <v>750</v>
      </c>
    </row>
    <row r="10" ht="18.75" spans="2:22">
      <c r="B10" s="48" t="s">
        <v>39</v>
      </c>
      <c r="C10" s="49"/>
      <c r="D10" s="49"/>
      <c r="E10" s="49"/>
      <c r="F10" s="49"/>
      <c r="G10" s="55">
        <f t="shared" ref="G10:V10" si="8">SUM(G6:G9)</f>
        <v>43080</v>
      </c>
      <c r="H10" s="55">
        <f t="shared" si="8"/>
        <v>0</v>
      </c>
      <c r="I10" s="55">
        <f t="shared" si="8"/>
        <v>1114.8</v>
      </c>
      <c r="J10" s="55">
        <f t="shared" si="8"/>
        <v>0</v>
      </c>
      <c r="K10" s="55">
        <f t="shared" si="8"/>
        <v>44194.8</v>
      </c>
      <c r="L10" s="55">
        <f t="shared" si="8"/>
        <v>3093.636</v>
      </c>
      <c r="M10" s="55">
        <f t="shared" si="8"/>
        <v>1462</v>
      </c>
      <c r="N10" s="55">
        <f t="shared" si="8"/>
        <v>0</v>
      </c>
      <c r="O10" s="55">
        <f t="shared" si="8"/>
        <v>0</v>
      </c>
      <c r="P10" s="55">
        <f t="shared" si="8"/>
        <v>4555.636</v>
      </c>
      <c r="Q10" s="55">
        <f t="shared" si="8"/>
        <v>39639.164</v>
      </c>
      <c r="R10" s="55">
        <f t="shared" si="8"/>
        <v>9501.882</v>
      </c>
      <c r="S10" s="55">
        <f t="shared" si="8"/>
        <v>883.896</v>
      </c>
      <c r="T10" s="55">
        <f t="shared" si="8"/>
        <v>3590</v>
      </c>
      <c r="U10" s="55">
        <f t="shared" si="8"/>
        <v>3590</v>
      </c>
      <c r="V10" s="67">
        <f t="shared" si="8"/>
        <v>3590</v>
      </c>
    </row>
    <row r="12" spans="4:12">
      <c r="D12" s="50"/>
      <c r="F12" s="56" t="s">
        <v>40</v>
      </c>
      <c r="G12" s="57"/>
      <c r="L12" s="57"/>
    </row>
    <row r="13" spans="6:7">
      <c r="F13">
        <v>74790</v>
      </c>
      <c r="G13" s="57">
        <f>F13-G10</f>
        <v>31710</v>
      </c>
    </row>
    <row r="26" ht="15.75" customHeight="1"/>
  </sheetData>
  <mergeCells count="19">
    <mergeCell ref="B1:V1"/>
    <mergeCell ref="B2:V2"/>
    <mergeCell ref="B3:V3"/>
    <mergeCell ref="C4:D4"/>
    <mergeCell ref="G4:K4"/>
    <mergeCell ref="L4:P4"/>
    <mergeCell ref="T4:V4"/>
    <mergeCell ref="C5:D5"/>
    <mergeCell ref="C6:D6"/>
    <mergeCell ref="C7:D7"/>
    <mergeCell ref="C8:D8"/>
    <mergeCell ref="C9:D9"/>
    <mergeCell ref="B10:F10"/>
    <mergeCell ref="B4:B5"/>
    <mergeCell ref="E4:E5"/>
    <mergeCell ref="F4:F5"/>
    <mergeCell ref="Q4:Q5"/>
    <mergeCell ref="R4:R5"/>
    <mergeCell ref="S4:S5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22"/>
  <sheetViews>
    <sheetView topLeftCell="A9" workbookViewId="0">
      <selection activeCell="F13" sqref="F13"/>
    </sheetView>
  </sheetViews>
  <sheetFormatPr defaultColWidth="11" defaultRowHeight="18" outlineLevelCol="3"/>
  <cols>
    <col min="2" max="2" width="22.3333333333333" customWidth="1"/>
    <col min="3" max="3" width="14" customWidth="1"/>
    <col min="4" max="4" width="12.875" customWidth="1"/>
  </cols>
  <sheetData>
    <row r="1" ht="18.75" spans="2:4">
      <c r="B1" s="16" t="s">
        <v>41</v>
      </c>
      <c r="C1" s="17"/>
      <c r="D1" s="18"/>
    </row>
    <row r="2" ht="18.75" spans="2:4">
      <c r="B2" s="19" t="s">
        <v>42</v>
      </c>
      <c r="C2" s="20"/>
      <c r="D2" s="21"/>
    </row>
    <row r="3" ht="18.75" spans="2:4">
      <c r="B3" s="16" t="s">
        <v>43</v>
      </c>
      <c r="C3" s="17"/>
      <c r="D3" s="18"/>
    </row>
    <row r="4" ht="16.2" customHeight="1" spans="2:4">
      <c r="B4" s="22" t="s">
        <v>44</v>
      </c>
      <c r="C4" s="23" t="s">
        <v>45</v>
      </c>
      <c r="D4" s="24" t="s">
        <v>46</v>
      </c>
    </row>
    <row r="5" spans="2:4">
      <c r="B5" s="25" t="s">
        <v>47</v>
      </c>
      <c r="C5" s="26">
        <f>'PLANILLA DE PAGO'!G10</f>
        <v>43080</v>
      </c>
      <c r="D5" s="27"/>
    </row>
    <row r="6" spans="2:4">
      <c r="B6" s="28" t="s">
        <v>48</v>
      </c>
      <c r="C6" s="29">
        <f>'PLANILLA DE PAGO'!I10</f>
        <v>1114.8</v>
      </c>
      <c r="D6" s="30"/>
    </row>
    <row r="7" spans="2:4">
      <c r="B7" s="28" t="s">
        <v>49</v>
      </c>
      <c r="C7" s="29" t="s">
        <v>50</v>
      </c>
      <c r="D7" s="30"/>
    </row>
    <row r="8" spans="2:4">
      <c r="B8" s="28" t="s">
        <v>24</v>
      </c>
      <c r="C8" s="29">
        <f>'PLANILLA DE PAGO'!T10</f>
        <v>3590</v>
      </c>
      <c r="D8" s="30"/>
    </row>
    <row r="9" spans="2:4">
      <c r="B9" s="28" t="s">
        <v>25</v>
      </c>
      <c r="C9" s="29">
        <f>'PLANILLA DE PAGO'!U10</f>
        <v>3590</v>
      </c>
      <c r="D9" s="30"/>
    </row>
    <row r="10" ht="16.2" customHeight="1" spans="2:4">
      <c r="B10" s="28" t="s">
        <v>26</v>
      </c>
      <c r="C10" s="29">
        <f>'PLANILLA DE PAGO'!V10</f>
        <v>3590</v>
      </c>
      <c r="D10" s="30"/>
    </row>
    <row r="11" spans="2:4">
      <c r="B11" s="28" t="s">
        <v>10</v>
      </c>
      <c r="C11" s="29">
        <f>'PLANILLA DE PAGO'!R10</f>
        <v>9501.882</v>
      </c>
      <c r="D11" s="30"/>
    </row>
    <row r="12" spans="2:4">
      <c r="B12" s="28" t="s">
        <v>11</v>
      </c>
      <c r="C12" s="29">
        <f>'PLANILLA DE PAGO'!S10</f>
        <v>883.896</v>
      </c>
      <c r="D12" s="30"/>
    </row>
    <row r="13" ht="16.2" customHeight="1" spans="2:4">
      <c r="B13" s="28" t="s">
        <v>51</v>
      </c>
      <c r="C13" s="29"/>
      <c r="D13" s="30">
        <f>'PLANILLA DE PAGO'!Q10</f>
        <v>39639.164</v>
      </c>
    </row>
    <row r="14" ht="16.8" customHeight="1" spans="2:4">
      <c r="B14" s="28" t="s">
        <v>52</v>
      </c>
      <c r="C14" s="29"/>
      <c r="D14" s="30">
        <f>'PLANILLA DE PAGO'!L10</f>
        <v>3093.636</v>
      </c>
    </row>
    <row r="15" ht="16.2" customHeight="1" spans="2:4">
      <c r="B15" s="28" t="s">
        <v>53</v>
      </c>
      <c r="C15" s="29"/>
      <c r="D15" s="30">
        <f>'PLANILLA DE PAGO'!R10</f>
        <v>9501.882</v>
      </c>
    </row>
    <row r="16" ht="16.2" customHeight="1" spans="2:4">
      <c r="B16" s="28" t="s">
        <v>54</v>
      </c>
      <c r="C16" s="29"/>
      <c r="D16" s="30">
        <f>'PLANILLA DE PAGO'!S10</f>
        <v>883.896</v>
      </c>
    </row>
    <row r="17" spans="2:4">
      <c r="B17" s="28" t="s">
        <v>55</v>
      </c>
      <c r="C17" s="29"/>
      <c r="D17" s="30">
        <f>'PLANILLA DE PAGO'!M10</f>
        <v>1462</v>
      </c>
    </row>
    <row r="18" spans="2:4">
      <c r="B18" s="28" t="s">
        <v>56</v>
      </c>
      <c r="C18" s="29"/>
      <c r="D18" s="30">
        <f>'PLANILLA DE PAGO'!T10</f>
        <v>3590</v>
      </c>
    </row>
    <row r="19" ht="16.8" customHeight="1" spans="2:4">
      <c r="B19" s="28" t="s">
        <v>57</v>
      </c>
      <c r="C19" s="29"/>
      <c r="D19" s="30">
        <f>'PLANILLA DE PAGO'!U10</f>
        <v>3590</v>
      </c>
    </row>
    <row r="20" ht="16.8" customHeight="1" spans="2:4">
      <c r="B20" s="28" t="s">
        <v>58</v>
      </c>
      <c r="C20" s="29"/>
      <c r="D20" s="30">
        <f>'PLANILLA DE PAGO'!V10</f>
        <v>3590</v>
      </c>
    </row>
    <row r="21" ht="16.2" customHeight="1" spans="2:4">
      <c r="B21" s="31" t="s">
        <v>59</v>
      </c>
      <c r="C21" s="32">
        <f>SUM(C5:C20)</f>
        <v>65350.578</v>
      </c>
      <c r="D21" s="33">
        <f>SUM(D5:D20)</f>
        <v>65350.578</v>
      </c>
    </row>
    <row r="22" ht="17.4" customHeight="1"/>
  </sheetData>
  <mergeCells count="3">
    <mergeCell ref="B1:D1"/>
    <mergeCell ref="B2:D2"/>
    <mergeCell ref="B3:D3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N38"/>
  <sheetViews>
    <sheetView view="pageBreakPreview" zoomScaleNormal="100" topLeftCell="B17" workbookViewId="0">
      <selection activeCell="N11" sqref="N11"/>
    </sheetView>
  </sheetViews>
  <sheetFormatPr defaultColWidth="8.58333333333333" defaultRowHeight="18"/>
  <cols>
    <col min="1" max="1" width="9.08333333333333" customWidth="1"/>
    <col min="2" max="2" width="11.9166666666667" customWidth="1"/>
    <col min="3" max="3" width="10.0833333333333" customWidth="1"/>
    <col min="4" max="4" width="14.6666666666667" customWidth="1"/>
    <col min="5" max="5" width="9.33333333333333" customWidth="1"/>
    <col min="6" max="6" width="10.5833333333333" customWidth="1"/>
    <col min="7" max="7" width="11.9166666666667" customWidth="1"/>
    <col min="8" max="8" width="12.1666666666667" customWidth="1"/>
    <col min="9" max="9" width="8.08333333333333" customWidth="1"/>
    <col min="10" max="10" width="9.33333333333333" customWidth="1"/>
    <col min="11" max="11" width="11" customWidth="1"/>
    <col min="13" max="13" width="10.9166666666667" customWidth="1"/>
    <col min="14" max="14" width="11.8333333333333" customWidth="1"/>
    <col min="15" max="15" width="11.5833333333333" customWidth="1"/>
    <col min="16" max="16" width="10.9166666666667" customWidth="1"/>
    <col min="17" max="17" width="11.5833333333333" customWidth="1"/>
    <col min="18" max="18" width="10.5" customWidth="1"/>
  </cols>
  <sheetData>
    <row r="3" spans="1:11">
      <c r="A3" s="1"/>
      <c r="B3" s="1"/>
      <c r="C3" s="1"/>
      <c r="D3" s="1"/>
      <c r="E3" s="1"/>
      <c r="F3" s="1"/>
      <c r="G3" s="1"/>
      <c r="H3" s="1"/>
      <c r="I3" s="11"/>
      <c r="J3" s="11"/>
      <c r="K3" s="1"/>
    </row>
    <row r="4" spans="1:11">
      <c r="A4" s="1"/>
      <c r="B4" s="1"/>
      <c r="C4" s="1"/>
      <c r="D4" s="1"/>
      <c r="E4" s="1"/>
      <c r="F4" s="1"/>
      <c r="G4" s="1"/>
      <c r="H4" s="1"/>
      <c r="I4" s="11"/>
      <c r="J4" s="11"/>
      <c r="K4" s="1"/>
    </row>
    <row r="5" spans="1:12">
      <c r="A5" s="2" t="s">
        <v>60</v>
      </c>
      <c r="B5" s="2"/>
      <c r="C5" s="2"/>
      <c r="D5" s="2"/>
      <c r="E5" s="2"/>
      <c r="F5" s="1"/>
      <c r="G5" s="7" t="s">
        <v>61</v>
      </c>
      <c r="H5" s="8"/>
      <c r="I5" s="11"/>
      <c r="J5" s="11"/>
      <c r="K5" s="12">
        <v>12000</v>
      </c>
      <c r="L5" s="13"/>
    </row>
    <row r="6" spans="1:11">
      <c r="A6" s="3" t="s">
        <v>62</v>
      </c>
      <c r="B6" s="3" t="s">
        <v>63</v>
      </c>
      <c r="C6" s="3" t="s">
        <v>64</v>
      </c>
      <c r="D6" s="3" t="s">
        <v>65</v>
      </c>
      <c r="E6" s="3" t="s">
        <v>66</v>
      </c>
      <c r="F6" s="1"/>
      <c r="G6" s="3" t="s">
        <v>67</v>
      </c>
      <c r="H6" s="3">
        <f>VLOOKUP(K5*12,A7:E11,E12,1)</f>
        <v>100000</v>
      </c>
      <c r="I6" s="11"/>
      <c r="J6" s="11"/>
      <c r="K6" s="14">
        <v>11080</v>
      </c>
    </row>
    <row r="7" spans="1:11">
      <c r="A7" s="3">
        <v>1</v>
      </c>
      <c r="B7" s="4">
        <v>100000</v>
      </c>
      <c r="C7" s="3">
        <v>0</v>
      </c>
      <c r="D7" s="3"/>
      <c r="E7" s="3">
        <v>0</v>
      </c>
      <c r="F7" s="1"/>
      <c r="G7" s="3" t="s">
        <v>68</v>
      </c>
      <c r="H7" s="9">
        <f>VLOOKUP(K5*12,A7:E11,D12,1)</f>
        <v>0.15</v>
      </c>
      <c r="I7" s="11"/>
      <c r="J7" s="11"/>
      <c r="K7" s="14">
        <v>11000</v>
      </c>
    </row>
    <row r="8" spans="1:11">
      <c r="A8" s="5">
        <v>100000.01</v>
      </c>
      <c r="B8" s="4">
        <v>200000</v>
      </c>
      <c r="C8" s="3">
        <v>0</v>
      </c>
      <c r="D8" s="6">
        <v>0.15</v>
      </c>
      <c r="E8" s="4">
        <v>100000</v>
      </c>
      <c r="F8" s="1"/>
      <c r="G8" s="3" t="s">
        <v>69</v>
      </c>
      <c r="H8" s="3">
        <f>VLOOKUP(K5*12,A7:E11,C12,1)</f>
        <v>0</v>
      </c>
      <c r="I8" s="11"/>
      <c r="J8" s="11"/>
      <c r="K8" s="14">
        <v>9000</v>
      </c>
    </row>
    <row r="9" spans="1:11">
      <c r="A9" s="5">
        <v>200000.01</v>
      </c>
      <c r="B9" s="4">
        <v>350000</v>
      </c>
      <c r="C9" s="4">
        <v>15000</v>
      </c>
      <c r="D9" s="6">
        <v>0.2</v>
      </c>
      <c r="E9" s="4">
        <v>200000</v>
      </c>
      <c r="F9" s="1"/>
      <c r="G9" s="3"/>
      <c r="H9" s="3"/>
      <c r="I9" s="11"/>
      <c r="J9" s="11"/>
      <c r="K9" s="15"/>
    </row>
    <row r="10" spans="1:11">
      <c r="A10" s="5">
        <v>350000.01</v>
      </c>
      <c r="B10" s="4">
        <v>500000</v>
      </c>
      <c r="C10" s="4">
        <v>45000</v>
      </c>
      <c r="D10" s="6">
        <v>0.25</v>
      </c>
      <c r="E10" s="4">
        <v>350000</v>
      </c>
      <c r="F10" s="1"/>
      <c r="G10" s="3" t="s">
        <v>20</v>
      </c>
      <c r="H10" s="10">
        <f>((((K5*12)-H6)*H7)+H8)/12</f>
        <v>550</v>
      </c>
      <c r="I10" s="11"/>
      <c r="J10" s="11"/>
      <c r="K10" s="15"/>
    </row>
    <row r="11" spans="1:11">
      <c r="A11" s="5">
        <v>500000.01</v>
      </c>
      <c r="B11" s="3" t="s">
        <v>70</v>
      </c>
      <c r="C11" s="4">
        <v>82500</v>
      </c>
      <c r="D11" s="6">
        <v>0.3</v>
      </c>
      <c r="E11" s="4">
        <v>500000</v>
      </c>
      <c r="F11" s="1"/>
      <c r="G11" s="1"/>
      <c r="H11" s="1"/>
      <c r="I11" s="11"/>
      <c r="J11" s="11"/>
      <c r="K11" s="15"/>
    </row>
    <row r="12" spans="1:11">
      <c r="A12" s="3">
        <v>1</v>
      </c>
      <c r="B12" s="3">
        <v>2</v>
      </c>
      <c r="C12" s="3">
        <v>3</v>
      </c>
      <c r="D12" s="3">
        <v>4</v>
      </c>
      <c r="E12" s="3">
        <v>5</v>
      </c>
      <c r="F12" s="1"/>
      <c r="G12" s="7" t="s">
        <v>61</v>
      </c>
      <c r="H12" s="8"/>
      <c r="I12" s="1"/>
      <c r="J12" s="1"/>
      <c r="K12" s="15"/>
    </row>
    <row r="13" spans="1:11">
      <c r="A13" s="1"/>
      <c r="B13" s="1"/>
      <c r="C13" s="1"/>
      <c r="D13" s="1"/>
      <c r="E13" s="1"/>
      <c r="F13" s="1"/>
      <c r="G13" s="3" t="s">
        <v>67</v>
      </c>
      <c r="H13" s="3">
        <f>VLOOKUP(K6*12,A7:E11,E12,1)</f>
        <v>100000</v>
      </c>
      <c r="I13" s="1"/>
      <c r="J13" s="1"/>
      <c r="K13" s="15"/>
    </row>
    <row r="14" spans="7:8">
      <c r="G14" s="3" t="s">
        <v>68</v>
      </c>
      <c r="H14" s="9">
        <f>VLOOKUP(K6*12,A7:E11,D12,1)</f>
        <v>0.15</v>
      </c>
    </row>
    <row r="15" spans="7:8">
      <c r="G15" s="3" t="s">
        <v>69</v>
      </c>
      <c r="H15" s="3">
        <f>VLOOKUP(K6*12,A7:E11,C12,1)</f>
        <v>0</v>
      </c>
    </row>
    <row r="16" spans="7:8">
      <c r="G16" s="3"/>
      <c r="H16" s="3"/>
    </row>
    <row r="17" spans="7:8">
      <c r="G17" s="3" t="s">
        <v>20</v>
      </c>
      <c r="H17" s="10">
        <f>((((K6*12)-H13)*H14)+H15)/12</f>
        <v>412</v>
      </c>
    </row>
    <row r="19" spans="7:14">
      <c r="G19" s="7" t="s">
        <v>61</v>
      </c>
      <c r="H19" s="8"/>
      <c r="J19" s="7" t="s">
        <v>61</v>
      </c>
      <c r="K19" s="8"/>
      <c r="M19" s="7" t="s">
        <v>61</v>
      </c>
      <c r="N19" s="8"/>
    </row>
    <row r="20" spans="7:14">
      <c r="G20" s="3" t="s">
        <v>67</v>
      </c>
      <c r="H20" s="3">
        <f>VLOOKUP(K7*12,A7:E11,E12,1)</f>
        <v>100000</v>
      </c>
      <c r="J20" s="3" t="s">
        <v>67</v>
      </c>
      <c r="K20" s="3" t="e">
        <f>VLOOKUP(K10*12,A7:E11,E12,1)</f>
        <v>#N/A</v>
      </c>
      <c r="M20" s="3" t="s">
        <v>67</v>
      </c>
      <c r="N20" s="3" t="e">
        <f>VLOOKUP(K12*12,A7:E11,E12,1)</f>
        <v>#N/A</v>
      </c>
    </row>
    <row r="21" spans="7:14">
      <c r="G21" s="3" t="s">
        <v>68</v>
      </c>
      <c r="H21" s="9">
        <f>VLOOKUP(K7*12,A7:E11,D12,1)</f>
        <v>0.15</v>
      </c>
      <c r="J21" s="3" t="s">
        <v>68</v>
      </c>
      <c r="K21" s="9" t="e">
        <f>VLOOKUP(K10*12,A7:E11,D12,1)</f>
        <v>#N/A</v>
      </c>
      <c r="M21" s="3" t="s">
        <v>68</v>
      </c>
      <c r="N21" s="9" t="e">
        <f>VLOOKUP(K12*12,A7:E11,D12,1)</f>
        <v>#N/A</v>
      </c>
    </row>
    <row r="22" spans="7:14">
      <c r="G22" s="3" t="s">
        <v>69</v>
      </c>
      <c r="H22" s="3">
        <f>VLOOKUP(K7*12,A7:E11,C12,1)</f>
        <v>0</v>
      </c>
      <c r="J22" s="3" t="s">
        <v>69</v>
      </c>
      <c r="K22" s="3" t="e">
        <f>VLOOKUP(K10*12,A7:E11,C12,1)</f>
        <v>#N/A</v>
      </c>
      <c r="M22" s="3" t="s">
        <v>69</v>
      </c>
      <c r="N22" s="3" t="e">
        <f>VLOOKUP(K12*12,A7:E11,C12,1)</f>
        <v>#N/A</v>
      </c>
    </row>
    <row r="23" spans="7:14">
      <c r="G23" s="3"/>
      <c r="H23" s="3"/>
      <c r="J23" s="3"/>
      <c r="K23" s="3"/>
      <c r="M23" s="3"/>
      <c r="N23" s="3"/>
    </row>
    <row r="24" spans="7:14">
      <c r="G24" s="3" t="s">
        <v>20</v>
      </c>
      <c r="H24" s="10">
        <f>((((K7*12)-H20)*H21)+H22)/12</f>
        <v>400</v>
      </c>
      <c r="J24" s="3" t="s">
        <v>20</v>
      </c>
      <c r="K24" s="10" t="e">
        <f>((((K10*12)-K20)*K21)+K22)/12</f>
        <v>#N/A</v>
      </c>
      <c r="M24" s="3" t="s">
        <v>20</v>
      </c>
      <c r="N24" s="10" t="e">
        <f>((((K12*12)-N20)*N21)+N22)/12</f>
        <v>#N/A</v>
      </c>
    </row>
    <row r="26" spans="7:14">
      <c r="G26" s="7" t="s">
        <v>61</v>
      </c>
      <c r="H26" s="8"/>
      <c r="J26" s="7" t="s">
        <v>61</v>
      </c>
      <c r="K26" s="8"/>
      <c r="M26" s="7" t="s">
        <v>61</v>
      </c>
      <c r="N26" s="8"/>
    </row>
    <row r="27" spans="7:14">
      <c r="G27" s="3" t="s">
        <v>67</v>
      </c>
      <c r="H27" s="3">
        <f>VLOOKUP(K8*12,A7:E11,E12,1)</f>
        <v>100000</v>
      </c>
      <c r="J27" s="3" t="s">
        <v>67</v>
      </c>
      <c r="K27" s="3" t="e">
        <f>VLOOKUP(K11*12,A7:E11,E12,1)</f>
        <v>#N/A</v>
      </c>
      <c r="M27" s="3" t="s">
        <v>67</v>
      </c>
      <c r="N27" s="3" t="e">
        <f>VLOOKUP(K13*12,A7:E11,E12,1)</f>
        <v>#N/A</v>
      </c>
    </row>
    <row r="28" spans="7:14">
      <c r="G28" s="3" t="s">
        <v>68</v>
      </c>
      <c r="H28" s="9">
        <f>VLOOKUP(K8*12,A7:E11,D12,1)</f>
        <v>0.15</v>
      </c>
      <c r="J28" s="3" t="s">
        <v>68</v>
      </c>
      <c r="K28" s="9" t="e">
        <f>VLOOKUP(K11*12,A7:E11,D12,1)</f>
        <v>#N/A</v>
      </c>
      <c r="M28" s="3" t="s">
        <v>68</v>
      </c>
      <c r="N28" s="9" t="e">
        <f>VLOOKUP(K13*12,A7:E11,D12,1)</f>
        <v>#N/A</v>
      </c>
    </row>
    <row r="29" spans="7:14">
      <c r="G29" s="3" t="s">
        <v>69</v>
      </c>
      <c r="H29" s="3">
        <f>VLOOKUP(K8*12,A7:E11,C12,1)</f>
        <v>0</v>
      </c>
      <c r="J29" s="3" t="s">
        <v>69</v>
      </c>
      <c r="K29" s="3" t="e">
        <f>VLOOKUP(K11*12,A7:E11,C12,1)</f>
        <v>#N/A</v>
      </c>
      <c r="M29" s="3" t="s">
        <v>69</v>
      </c>
      <c r="N29" s="3" t="e">
        <f>VLOOKUP(K13*12,A7:E11,C12,1)</f>
        <v>#N/A</v>
      </c>
    </row>
    <row r="30" spans="7:14">
      <c r="G30" s="3"/>
      <c r="H30" s="3"/>
      <c r="J30" s="3"/>
      <c r="K30" s="3"/>
      <c r="M30" s="3"/>
      <c r="N30" s="3"/>
    </row>
    <row r="31" spans="7:14">
      <c r="G31" s="3" t="s">
        <v>20</v>
      </c>
      <c r="H31" s="10">
        <f>((((K8*12)-H27)*H28)+H29)/12</f>
        <v>100</v>
      </c>
      <c r="J31" s="3" t="s">
        <v>20</v>
      </c>
      <c r="K31" s="10" t="e">
        <f>((((K11*12)-K27)*K28)+K29)/12</f>
        <v>#N/A</v>
      </c>
      <c r="M31" s="3" t="s">
        <v>20</v>
      </c>
      <c r="N31" s="10" t="e">
        <f>((((K13*12)-N27)*N28)+N29)/12</f>
        <v>#N/A</v>
      </c>
    </row>
    <row r="33" spans="7:8">
      <c r="G33" s="7" t="s">
        <v>61</v>
      </c>
      <c r="H33" s="8"/>
    </row>
    <row r="34" spans="7:8">
      <c r="G34" s="3" t="s">
        <v>67</v>
      </c>
      <c r="H34" s="3" t="e">
        <f>VLOOKUP(K9*12,A7:E11,E12,1)</f>
        <v>#N/A</v>
      </c>
    </row>
    <row r="35" spans="7:8">
      <c r="G35" s="3" t="s">
        <v>68</v>
      </c>
      <c r="H35" s="9" t="e">
        <f>VLOOKUP(K9*12,A7:E11,D12,1)</f>
        <v>#N/A</v>
      </c>
    </row>
    <row r="36" spans="7:8">
      <c r="G36" s="3" t="s">
        <v>69</v>
      </c>
      <c r="H36" s="3" t="e">
        <f>VLOOKUP(K9*12,A7:E11,C12,1)</f>
        <v>#N/A</v>
      </c>
    </row>
    <row r="37" spans="7:8">
      <c r="G37" s="3"/>
      <c r="H37" s="3"/>
    </row>
    <row r="38" spans="7:8">
      <c r="G38" s="3" t="s">
        <v>20</v>
      </c>
      <c r="H38" s="10" t="e">
        <f>((((K9*12)-H34)*H35)+H36)/12</f>
        <v>#N/A</v>
      </c>
    </row>
  </sheetData>
  <mergeCells count="10">
    <mergeCell ref="A5:E5"/>
    <mergeCell ref="G5:H5"/>
    <mergeCell ref="G12:H12"/>
    <mergeCell ref="G19:H19"/>
    <mergeCell ref="J19:K19"/>
    <mergeCell ref="M19:N19"/>
    <mergeCell ref="G26:H26"/>
    <mergeCell ref="J26:K26"/>
    <mergeCell ref="M26:N26"/>
    <mergeCell ref="G33:H3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PLANILLA DE PAGO</vt:lpstr>
      <vt:lpstr>COMPROBANTE CONTABLE</vt:lpstr>
      <vt:lpstr>Calculadora IR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hack4</cp:lastModifiedBy>
  <dcterms:created xsi:type="dcterms:W3CDTF">2025-06-13T10:50:00Z</dcterms:created>
  <dcterms:modified xsi:type="dcterms:W3CDTF">2026-08-03T22:27:06Z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